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C0F88E05-D1C6-470C-9DB8-9020E74B42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" sheetId="2" r:id="rId1"/>
    <sheet name="Cadern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19" i="2"/>
  <c r="B18" i="2"/>
  <c r="B31" i="2"/>
  <c r="B9" i="2"/>
  <c r="D3" i="2"/>
  <c r="B35" i="1"/>
  <c r="B33" i="1"/>
  <c r="B31" i="1"/>
  <c r="B26" i="1"/>
  <c r="B29" i="1"/>
  <c r="B9" i="1"/>
  <c r="D3" i="1"/>
  <c r="B11" i="1" s="1"/>
  <c r="B35" i="2" l="1"/>
  <c r="B37" i="2" s="1"/>
  <c r="B11" i="2"/>
</calcChain>
</file>

<file path=xl/sharedStrings.xml><?xml version="1.0" encoding="utf-8"?>
<sst xmlns="http://schemas.openxmlformats.org/spreadsheetml/2006/main" count="59" uniqueCount="30">
  <si>
    <t>Contas do Mês de Março</t>
  </si>
  <si>
    <t>Saldo Transporte de Caixa</t>
  </si>
  <si>
    <t>Saldo transporte de Banco</t>
  </si>
  <si>
    <t>Receitas</t>
  </si>
  <si>
    <t>Dizimo</t>
  </si>
  <si>
    <t>Promessas</t>
  </si>
  <si>
    <t>Coletas de Missas</t>
  </si>
  <si>
    <t>Total</t>
  </si>
  <si>
    <t xml:space="preserve">Despesas </t>
  </si>
  <si>
    <t>Servico de limpeza</t>
  </si>
  <si>
    <t>Agua</t>
  </si>
  <si>
    <t>Energia</t>
  </si>
  <si>
    <t>Vale Transporte Barra do Sotero</t>
  </si>
  <si>
    <t>Outros</t>
  </si>
  <si>
    <t>1 Pacote de Particula</t>
  </si>
  <si>
    <t>2 Velas para o altar</t>
  </si>
  <si>
    <t>1 Cirio Pascal</t>
  </si>
  <si>
    <t>internet</t>
  </si>
  <si>
    <t>Contribuição para catequese</t>
  </si>
  <si>
    <t>Doação 100 Para as Caritas</t>
  </si>
  <si>
    <t>esportula de missa</t>
  </si>
  <si>
    <t>Produto de limpeza</t>
  </si>
  <si>
    <t>Repasse 10% Diocese</t>
  </si>
  <si>
    <t>Repasse 20% Paroquia</t>
  </si>
  <si>
    <t>Total Repasse</t>
  </si>
  <si>
    <t>Total Geral Despesas</t>
  </si>
  <si>
    <t>Saldo do Mês</t>
  </si>
  <si>
    <t xml:space="preserve">Saldo Transporte de BAnco </t>
  </si>
  <si>
    <t>Despesas</t>
  </si>
  <si>
    <t>Total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</si>
</sst>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A8C0-2133-492E-9C68-4F853F807221}">
  <dimension ref="A1:D38"/>
  <sheetViews>
    <sheetView tabSelected="1" topLeftCell="A11" workbookViewId="0">
      <selection activeCell="B34" sqref="B34"/>
    </sheetView>
  </sheetViews>
  <sheetFormatPr defaultRowHeight="15"/>
  <cols>
    <col min="1" max="1" width="28.85546875" bestFit="1" customWidth="1"/>
    <col min="2" max="2" width="12.28515625" bestFit="1" customWidth="1"/>
    <col min="4" max="4" width="12.28515625" bestFit="1" customWidth="1"/>
  </cols>
  <sheetData>
    <row r="1" spans="1:4">
      <c r="A1" s="1" t="s">
        <v>0</v>
      </c>
    </row>
    <row r="2" spans="1:4">
      <c r="A2" t="s">
        <v>1</v>
      </c>
      <c r="B2" s="2">
        <v>12585.34</v>
      </c>
    </row>
    <row r="3" spans="1:4">
      <c r="A3" t="s">
        <v>2</v>
      </c>
      <c r="B3" s="2">
        <v>40351.300000000003</v>
      </c>
      <c r="D3" s="2">
        <f>SUM(B2,B3)</f>
        <v>52936.639999999999</v>
      </c>
    </row>
    <row r="5" spans="1:4">
      <c r="A5" t="s">
        <v>3</v>
      </c>
    </row>
    <row r="6" spans="1:4">
      <c r="A6" t="s">
        <v>4</v>
      </c>
      <c r="B6" s="2">
        <v>3205</v>
      </c>
    </row>
    <row r="7" spans="1:4">
      <c r="A7" t="s">
        <v>5</v>
      </c>
      <c r="B7" s="2">
        <v>25</v>
      </c>
    </row>
    <row r="8" spans="1:4">
      <c r="A8" t="s">
        <v>6</v>
      </c>
      <c r="B8" s="2">
        <v>570</v>
      </c>
    </row>
    <row r="9" spans="1:4">
      <c r="A9" t="s">
        <v>7</v>
      </c>
      <c r="B9" s="2">
        <f>SUM(B6,B7,B8)</f>
        <v>3800</v>
      </c>
    </row>
    <row r="11" spans="1:4">
      <c r="B11" s="2">
        <f>SUM(B9,D3)</f>
        <v>56736.639999999999</v>
      </c>
    </row>
    <row r="13" spans="1:4">
      <c r="A13" t="s">
        <v>8</v>
      </c>
    </row>
    <row r="14" spans="1:4">
      <c r="A14" t="s">
        <v>9</v>
      </c>
      <c r="B14" s="2">
        <v>400</v>
      </c>
    </row>
    <row r="15" spans="1:4">
      <c r="A15" t="s">
        <v>10</v>
      </c>
      <c r="B15" s="2">
        <v>37.5</v>
      </c>
    </row>
    <row r="16" spans="1:4">
      <c r="A16" t="s">
        <v>11</v>
      </c>
      <c r="B16" s="2">
        <v>121.45</v>
      </c>
    </row>
    <row r="17" spans="1:2">
      <c r="A17" t="s">
        <v>12</v>
      </c>
      <c r="B17" s="2">
        <v>180</v>
      </c>
    </row>
    <row r="18" spans="1:2">
      <c r="A18" t="s">
        <v>13</v>
      </c>
      <c r="B18" s="2">
        <f>SUM(B20:B27)</f>
        <v>639.9</v>
      </c>
    </row>
    <row r="19" spans="1:2">
      <c r="A19" t="s">
        <v>7</v>
      </c>
      <c r="B19" s="2">
        <f>SUM(B14:B18)</f>
        <v>1378.85</v>
      </c>
    </row>
    <row r="20" spans="1:2">
      <c r="A20" t="s">
        <v>14</v>
      </c>
      <c r="B20" s="2">
        <v>35</v>
      </c>
    </row>
    <row r="21" spans="1:2">
      <c r="A21" t="s">
        <v>15</v>
      </c>
      <c r="B21" s="2">
        <v>100</v>
      </c>
    </row>
    <row r="22" spans="1:2">
      <c r="A22" t="s">
        <v>16</v>
      </c>
      <c r="B22" s="2">
        <v>110</v>
      </c>
    </row>
    <row r="23" spans="1:2">
      <c r="A23" t="s">
        <v>17</v>
      </c>
      <c r="B23" s="2">
        <v>89.9</v>
      </c>
    </row>
    <row r="24" spans="1:2">
      <c r="A24" t="s">
        <v>18</v>
      </c>
      <c r="B24" s="2">
        <v>80</v>
      </c>
    </row>
    <row r="25" spans="1:2">
      <c r="A25" t="s">
        <v>19</v>
      </c>
      <c r="B25" s="2">
        <v>100</v>
      </c>
    </row>
    <row r="26" spans="1:2">
      <c r="A26" t="s">
        <v>20</v>
      </c>
      <c r="B26" s="2">
        <v>80</v>
      </c>
    </row>
    <row r="27" spans="1:2">
      <c r="A27" t="s">
        <v>21</v>
      </c>
      <c r="B27" s="2">
        <v>45</v>
      </c>
    </row>
    <row r="28" spans="1:2">
      <c r="B28" s="2"/>
    </row>
    <row r="29" spans="1:2">
      <c r="A29" t="s">
        <v>22</v>
      </c>
      <c r="B29" s="2">
        <v>320.5</v>
      </c>
    </row>
    <row r="30" spans="1:2">
      <c r="A30" t="s">
        <v>23</v>
      </c>
      <c r="B30" s="2">
        <v>641</v>
      </c>
    </row>
    <row r="31" spans="1:2">
      <c r="A31" t="s">
        <v>24</v>
      </c>
      <c r="B31" s="2">
        <f>SUM(B29,B30)</f>
        <v>961.5</v>
      </c>
    </row>
    <row r="33" spans="1:2">
      <c r="A33" t="s">
        <v>25</v>
      </c>
      <c r="B33" s="2">
        <f>SUM(B19,B31)</f>
        <v>2340.35</v>
      </c>
    </row>
    <row r="35" spans="1:2">
      <c r="A35" t="s">
        <v>26</v>
      </c>
      <c r="B35" s="2">
        <f>B9-B33</f>
        <v>1459.65</v>
      </c>
    </row>
    <row r="37" spans="1:2">
      <c r="A37" t="s">
        <v>1</v>
      </c>
      <c r="B37" s="2">
        <f>SUM(B35,B2)</f>
        <v>14044.99</v>
      </c>
    </row>
    <row r="38" spans="1:2">
      <c r="A38" t="s">
        <v>27</v>
      </c>
      <c r="B38" s="2">
        <v>40351.300000000003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1" workbookViewId="0">
      <selection activeCell="B31" sqref="B31"/>
    </sheetView>
  </sheetViews>
  <sheetFormatPr defaultRowHeight="15"/>
  <cols>
    <col min="1" max="1" width="28.85546875" bestFit="1" customWidth="1"/>
    <col min="2" max="2" width="12.28515625" bestFit="1" customWidth="1"/>
    <col min="4" max="4" width="12.28515625" bestFit="1" customWidth="1"/>
  </cols>
  <sheetData>
    <row r="1" spans="1:4">
      <c r="A1" s="1" t="s">
        <v>0</v>
      </c>
    </row>
    <row r="2" spans="1:4">
      <c r="A2" t="s">
        <v>1</v>
      </c>
      <c r="B2" s="2">
        <v>12585.34</v>
      </c>
    </row>
    <row r="3" spans="1:4">
      <c r="A3" t="s">
        <v>2</v>
      </c>
      <c r="B3" s="2">
        <v>40351.300000000003</v>
      </c>
      <c r="D3" s="2">
        <f>SUM(B2,B3)</f>
        <v>52936.639999999999</v>
      </c>
    </row>
    <row r="5" spans="1:4">
      <c r="A5" t="s">
        <v>3</v>
      </c>
    </row>
    <row r="6" spans="1:4">
      <c r="A6" t="s">
        <v>4</v>
      </c>
      <c r="B6" s="2">
        <v>3205</v>
      </c>
    </row>
    <row r="7" spans="1:4">
      <c r="A7" t="s">
        <v>5</v>
      </c>
      <c r="B7" s="2">
        <v>25</v>
      </c>
    </row>
    <row r="8" spans="1:4">
      <c r="A8" t="s">
        <v>6</v>
      </c>
      <c r="B8" s="2">
        <v>570</v>
      </c>
    </row>
    <row r="9" spans="1:4">
      <c r="A9" t="s">
        <v>7</v>
      </c>
      <c r="B9" s="2">
        <f>SUM(B6,B7,B8)</f>
        <v>3800</v>
      </c>
    </row>
    <row r="11" spans="1:4">
      <c r="B11" s="2">
        <f>SUM(B9,D3)</f>
        <v>56736.639999999999</v>
      </c>
    </row>
    <row r="13" spans="1:4">
      <c r="A13" t="s">
        <v>28</v>
      </c>
    </row>
    <row r="14" spans="1:4">
      <c r="A14" t="s">
        <v>9</v>
      </c>
      <c r="B14" s="2">
        <v>400</v>
      </c>
    </row>
    <row r="15" spans="1:4">
      <c r="A15" t="s">
        <v>17</v>
      </c>
      <c r="B15" s="2">
        <v>89.9</v>
      </c>
    </row>
    <row r="16" spans="1:4">
      <c r="A16" t="s">
        <v>10</v>
      </c>
      <c r="B16" s="2">
        <v>37.5</v>
      </c>
    </row>
    <row r="17" spans="1:2">
      <c r="A17" t="s">
        <v>16</v>
      </c>
      <c r="B17" s="2">
        <v>110</v>
      </c>
    </row>
    <row r="18" spans="1:2">
      <c r="A18" t="s">
        <v>14</v>
      </c>
      <c r="B18" s="2">
        <v>35</v>
      </c>
    </row>
    <row r="19" spans="1:2">
      <c r="A19" t="s">
        <v>15</v>
      </c>
      <c r="B19" s="2">
        <v>100</v>
      </c>
    </row>
    <row r="20" spans="1:2">
      <c r="A20" t="s">
        <v>11</v>
      </c>
      <c r="B20" s="2">
        <v>121.45</v>
      </c>
    </row>
    <row r="21" spans="1:2">
      <c r="A21" t="s">
        <v>12</v>
      </c>
      <c r="B21" s="2">
        <v>180</v>
      </c>
    </row>
    <row r="22" spans="1:2">
      <c r="A22" t="s">
        <v>18</v>
      </c>
      <c r="B22" s="2">
        <v>80</v>
      </c>
    </row>
    <row r="23" spans="1:2">
      <c r="A23" t="s">
        <v>19</v>
      </c>
      <c r="B23" s="2">
        <v>100</v>
      </c>
    </row>
    <row r="24" spans="1:2">
      <c r="A24" t="s">
        <v>20</v>
      </c>
      <c r="B24" s="2">
        <v>80</v>
      </c>
    </row>
    <row r="25" spans="1:2">
      <c r="A25" t="s">
        <v>21</v>
      </c>
      <c r="B25" s="2">
        <v>45</v>
      </c>
    </row>
    <row r="26" spans="1:2">
      <c r="A26" t="s">
        <v>29</v>
      </c>
      <c r="B26" s="2">
        <f>SUM(B14:B25)</f>
        <v>1378.85</v>
      </c>
    </row>
    <row r="27" spans="1:2">
      <c r="A27" t="s">
        <v>22</v>
      </c>
      <c r="B27" s="2">
        <v>320.5</v>
      </c>
    </row>
    <row r="28" spans="1:2">
      <c r="A28" t="s">
        <v>23</v>
      </c>
      <c r="B28" s="2">
        <v>641</v>
      </c>
    </row>
    <row r="29" spans="1:2">
      <c r="A29" t="s">
        <v>24</v>
      </c>
      <c r="B29" s="2">
        <f>SUM(B27,B28)</f>
        <v>961.5</v>
      </c>
    </row>
    <row r="31" spans="1:2">
      <c r="A31" t="s">
        <v>25</v>
      </c>
      <c r="B31" s="2">
        <f>SUM(B26,B29)</f>
        <v>2340.35</v>
      </c>
    </row>
    <row r="33" spans="1:2">
      <c r="A33" t="s">
        <v>26</v>
      </c>
      <c r="B33" s="2">
        <f>B9-B31</f>
        <v>1459.65</v>
      </c>
    </row>
    <row r="35" spans="1:2">
      <c r="A35" t="s">
        <v>1</v>
      </c>
      <c r="B35" s="2">
        <f>SUM(B33,B2)</f>
        <v>14044.99</v>
      </c>
    </row>
    <row r="36" spans="1:2">
      <c r="A36" t="s">
        <v>27</v>
      </c>
      <c r="B36" s="2">
        <v>40351.300000000003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2026-04-06T20:54:57Z</dcterms:created>
  <dcterms:modified xsi:type="dcterms:W3CDTF">2026-04-06T21:31:21Z</dcterms:modified>
  <cp:category/>
  <cp:contentStatus/>
</cp:coreProperties>
</file>